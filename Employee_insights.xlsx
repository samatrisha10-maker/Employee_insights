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06cd066fb6fcad/Documents/"/>
    </mc:Choice>
  </mc:AlternateContent>
  <xr:revisionPtr revIDLastSave="44" documentId="8_{BAB2E879-EFDA-4A18-ADF5-D881A6761A10}" xr6:coauthVersionLast="47" xr6:coauthVersionMax="47" xr10:uidLastSave="{5F85D0A5-D781-4916-A207-DB03AEA43159}"/>
  <bookViews>
    <workbookView xWindow="-110" yWindow="-110" windowWidth="19420" windowHeight="11500" xr2:uid="{758E9EB0-BFF2-4FAB-9CA4-AB6F795EDF44}"/>
  </bookViews>
  <sheets>
    <sheet name="Employees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17" i="2"/>
  <c r="B43" i="2"/>
  <c r="B13" i="2"/>
  <c r="B11" i="2"/>
  <c r="B6" i="2"/>
  <c r="B7" i="2"/>
  <c r="B8" i="2"/>
  <c r="B9" i="2"/>
  <c r="B10" i="2"/>
  <c r="B5" i="2"/>
  <c r="B2" i="2" s="1"/>
</calcChain>
</file>

<file path=xl/sharedStrings.xml><?xml version="1.0" encoding="utf-8"?>
<sst xmlns="http://schemas.openxmlformats.org/spreadsheetml/2006/main" count="232" uniqueCount="125">
  <si>
    <t>Employee ID</t>
  </si>
  <si>
    <t>First Name</t>
  </si>
  <si>
    <t>Last Name</t>
  </si>
  <si>
    <t>Department</t>
  </si>
  <si>
    <t>Position</t>
  </si>
  <si>
    <t>Hire Date</t>
  </si>
  <si>
    <t>Salary</t>
  </si>
  <si>
    <t>Full-Time</t>
  </si>
  <si>
    <t>Aarav</t>
  </si>
  <si>
    <t>Sharma</t>
  </si>
  <si>
    <t>Finance</t>
  </si>
  <si>
    <t>Financial Analyst</t>
  </si>
  <si>
    <t>Yes</t>
  </si>
  <si>
    <t>Priya</t>
  </si>
  <si>
    <t>Reddy</t>
  </si>
  <si>
    <t>Human Resources</t>
  </si>
  <si>
    <t>HR Specialist</t>
  </si>
  <si>
    <t>Rohan</t>
  </si>
  <si>
    <t>Mehta</t>
  </si>
  <si>
    <t>IT</t>
  </si>
  <si>
    <t>Software Engineer</t>
  </si>
  <si>
    <t>Ananya</t>
  </si>
  <si>
    <t>Iyer</t>
  </si>
  <si>
    <t>Marketing</t>
  </si>
  <si>
    <t>Marketing Coordinator</t>
  </si>
  <si>
    <t>Vikram</t>
  </si>
  <si>
    <t>Patel</t>
  </si>
  <si>
    <t>Sales</t>
  </si>
  <si>
    <t>Sales Executive</t>
  </si>
  <si>
    <t>Neha</t>
  </si>
  <si>
    <t>Verma</t>
  </si>
  <si>
    <t>Data Analyst</t>
  </si>
  <si>
    <t>Arjun</t>
  </si>
  <si>
    <t>Nair</t>
  </si>
  <si>
    <t>Operations</t>
  </si>
  <si>
    <t>Operations Manager</t>
  </si>
  <si>
    <t>Kavya</t>
  </si>
  <si>
    <t>Rao</t>
  </si>
  <si>
    <t>Accountant</t>
  </si>
  <si>
    <t>No</t>
  </si>
  <si>
    <t>Rahul</t>
  </si>
  <si>
    <t>Gupta</t>
  </si>
  <si>
    <t>Sales Manager</t>
  </si>
  <si>
    <t>Sneha</t>
  </si>
  <si>
    <t>Kapoor</t>
  </si>
  <si>
    <t>Recruiter</t>
  </si>
  <si>
    <t>Aditya</t>
  </si>
  <si>
    <t>Joshi</t>
  </si>
  <si>
    <t>Systems Administrator</t>
  </si>
  <si>
    <t>Meera</t>
  </si>
  <si>
    <t>Krishnan</t>
  </si>
  <si>
    <t>Content Specialist</t>
  </si>
  <si>
    <t>Karan</t>
  </si>
  <si>
    <t>Singh</t>
  </si>
  <si>
    <t>Operations Analyst</t>
  </si>
  <si>
    <t>Ishita</t>
  </si>
  <si>
    <t>Das</t>
  </si>
  <si>
    <t>Senior Accountant</t>
  </si>
  <si>
    <t>Nikhil</t>
  </si>
  <si>
    <t>Bose</t>
  </si>
  <si>
    <t>Account Executive</t>
  </si>
  <si>
    <t>Pooja</t>
  </si>
  <si>
    <t>Menon</t>
  </si>
  <si>
    <t>Siddharth</t>
  </si>
  <si>
    <t>Shah</t>
  </si>
  <si>
    <t>Project Coordinator</t>
  </si>
  <si>
    <t>Divya</t>
  </si>
  <si>
    <t>Pillai</t>
  </si>
  <si>
    <t>Marketing Manager</t>
  </si>
  <si>
    <t>Manish</t>
  </si>
  <si>
    <t>Yadav</t>
  </si>
  <si>
    <t>Tanvi</t>
  </si>
  <si>
    <t>Kulkarni</t>
  </si>
  <si>
    <t>HR Manager</t>
  </si>
  <si>
    <t>Varun</t>
  </si>
  <si>
    <t>Chopra</t>
  </si>
  <si>
    <t>Sanya</t>
  </si>
  <si>
    <t>Malhotra</t>
  </si>
  <si>
    <t>Data Engineer</t>
  </si>
  <si>
    <t>Harish</t>
  </si>
  <si>
    <t>Operations Specialist</t>
  </si>
  <si>
    <t>Lakshmi</t>
  </si>
  <si>
    <t>Digital Marketing Specialist</t>
  </si>
  <si>
    <t>Yash</t>
  </si>
  <si>
    <t>Agarwal</t>
  </si>
  <si>
    <t>Finance Manager</t>
  </si>
  <si>
    <t>Nandini</t>
  </si>
  <si>
    <t>Mishra</t>
  </si>
  <si>
    <t>Abhishek</t>
  </si>
  <si>
    <t>Kumar</t>
  </si>
  <si>
    <t>IT Support Specialist</t>
  </si>
  <si>
    <t>Shreya</t>
  </si>
  <si>
    <t>Gaurav</t>
  </si>
  <si>
    <t>Sethi</t>
  </si>
  <si>
    <t>Riya</t>
  </si>
  <si>
    <t>Saxena</t>
  </si>
  <si>
    <t>Graphic Designer</t>
  </si>
  <si>
    <t>Dev</t>
  </si>
  <si>
    <t>Bhatia</t>
  </si>
  <si>
    <t>Aditi</t>
  </si>
  <si>
    <t>Chawla</t>
  </si>
  <si>
    <t>Payroll Specialist</t>
  </si>
  <si>
    <t>Mohit</t>
  </si>
  <si>
    <t>Jain</t>
  </si>
  <si>
    <t>Business Development Executive</t>
  </si>
  <si>
    <t>Simran</t>
  </si>
  <si>
    <t>Kaur</t>
  </si>
  <si>
    <t>Vivek</t>
  </si>
  <si>
    <t>Desai</t>
  </si>
  <si>
    <t>Analytical Question</t>
  </si>
  <si>
    <t>Result</t>
  </si>
  <si>
    <t>Formula Used</t>
  </si>
  <si>
    <t>Average Salary</t>
  </si>
  <si>
    <t>1.“Which department has the highest average salary?”</t>
  </si>
  <si>
    <t>AVERAGEIFS</t>
  </si>
  <si>
    <t>COUNTIFS</t>
  </si>
  <si>
    <t>2.How many employees were hired in the last 12 months?</t>
  </si>
  <si>
    <t>3.What is the total salary expense for full‑time employees?</t>
  </si>
  <si>
    <t>SUMIFS</t>
  </si>
  <si>
    <t>4.Which position has the most employees?</t>
  </si>
  <si>
    <t>POSITION</t>
  </si>
  <si>
    <t>EMPLOYECOUNT</t>
  </si>
  <si>
    <t>MEDIAN</t>
  </si>
  <si>
    <t>5.What is the median salary across the company?</t>
  </si>
  <si>
    <t>Supporting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</si>
</sst>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dd/m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37415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vertical="center" wrapText="1"/>
    </xf>
    <xf numFmtId="0" fontId="1" fillId="0" borderId="0" xfId="0" applyFont="1"/>
    <xf numFmtId="0" fontId="2" fillId="3" borderId="0" xfId="0" applyFont="1" applyFill="1"/>
    <xf numFmtId="44" fontId="0" fillId="0" borderId="0" xfId="0" applyNumberFormat="1"/>
    <xf numFmtId="44" fontId="0" fillId="2" borderId="0" xfId="0" applyNumberFormat="1" applyFill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64" formatCode="&quot;₹&quot;\ #,##0"/>
    </dxf>
    <dxf>
      <numFmt numFmtId="165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F307A-30B0-4198-B61A-0DC07F7C666C}" name="Table1" displayName="Table1" ref="A1:H36" totalsRowShown="0">
  <autoFilter ref="A1:H36" xr:uid="{D21F307A-30B0-4198-B61A-0DC07F7C666C}"/>
  <tableColumns count="8">
    <tableColumn id="1" xr3:uid="{65D707B4-2061-4596-99D9-1BEAF481757A}" name="Employee ID"/>
    <tableColumn id="2" xr3:uid="{B2645C52-BC78-4183-98C7-869F393B87CB}" name="First Name"/>
    <tableColumn id="3" xr3:uid="{69C32619-4082-4DA3-B5D4-A9EC3F1553EC}" name="Last Name"/>
    <tableColumn id="4" xr3:uid="{70A4502D-2295-4910-86F1-D2487285F8A0}" name="Department"/>
    <tableColumn id="5" xr3:uid="{2CE1178B-2BCF-42B0-9F48-74F877810855}" name="Position"/>
    <tableColumn id="6" xr3:uid="{9C8C8434-5745-4565-923F-4AA65E8845A0}" name="Hire Date" dataDxfId="2"/>
    <tableColumn id="7" xr3:uid="{709EFC6C-4D0D-47AF-82EC-02186C535C09}" name="Salary" dataDxfId="1"/>
    <tableColumn id="8" xr3:uid="{8C67D22F-7617-4FF6-A143-E78F944890B5}" name="Full-Tim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6877-05E6-49E7-9265-39CA1A4D0FC2}">
  <dimension ref="A1:H36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5" x14ac:dyDescent="0.35"/>
  <cols>
    <col min="1" max="1" width="13.1796875" customWidth="1"/>
    <col min="2" max="2" width="17.81640625" customWidth="1"/>
    <col min="3" max="3" width="13.6328125" customWidth="1"/>
    <col min="4" max="4" width="17.7265625" customWidth="1"/>
    <col min="5" max="5" width="20.08984375" customWidth="1"/>
    <col min="6" max="6" width="11.36328125" style="3" bestFit="1" customWidth="1"/>
    <col min="7" max="7" width="10" style="2" customWidth="1"/>
    <col min="8" max="8" width="10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t="s">
        <v>11</v>
      </c>
      <c r="F2" s="3">
        <v>44270</v>
      </c>
      <c r="G2" s="2">
        <v>72000</v>
      </c>
      <c r="H2" t="s">
        <v>12</v>
      </c>
    </row>
    <row r="3" spans="1:8" x14ac:dyDescent="0.35">
      <c r="A3">
        <v>1002</v>
      </c>
      <c r="B3" t="s">
        <v>13</v>
      </c>
      <c r="C3" t="s">
        <v>14</v>
      </c>
      <c r="D3" t="s">
        <v>15</v>
      </c>
      <c r="E3" t="s">
        <v>16</v>
      </c>
      <c r="F3" s="3">
        <v>44753</v>
      </c>
      <c r="G3" s="2">
        <v>65000</v>
      </c>
      <c r="H3" t="s">
        <v>12</v>
      </c>
    </row>
    <row r="4" spans="1:8" x14ac:dyDescent="0.35">
      <c r="A4">
        <v>1003</v>
      </c>
      <c r="B4" t="s">
        <v>17</v>
      </c>
      <c r="C4" t="s">
        <v>18</v>
      </c>
      <c r="D4" t="s">
        <v>19</v>
      </c>
      <c r="E4" t="s">
        <v>20</v>
      </c>
      <c r="F4" s="3">
        <v>43850</v>
      </c>
      <c r="G4" s="2">
        <v>92000</v>
      </c>
      <c r="H4" t="s">
        <v>12</v>
      </c>
    </row>
    <row r="5" spans="1:8" x14ac:dyDescent="0.35">
      <c r="A5">
        <v>1004</v>
      </c>
      <c r="B5" t="s">
        <v>21</v>
      </c>
      <c r="C5" t="s">
        <v>22</v>
      </c>
      <c r="D5" t="s">
        <v>23</v>
      </c>
      <c r="E5" t="s">
        <v>24</v>
      </c>
      <c r="F5" s="3">
        <v>45327</v>
      </c>
      <c r="G5" s="2">
        <v>58000</v>
      </c>
      <c r="H5" t="s">
        <v>12</v>
      </c>
    </row>
    <row r="6" spans="1:8" x14ac:dyDescent="0.35">
      <c r="A6">
        <v>1005</v>
      </c>
      <c r="B6" t="s">
        <v>25</v>
      </c>
      <c r="C6" t="s">
        <v>26</v>
      </c>
      <c r="D6" t="s">
        <v>27</v>
      </c>
      <c r="E6" t="s">
        <v>28</v>
      </c>
      <c r="F6" s="3">
        <v>45064</v>
      </c>
      <c r="G6" s="2">
        <v>61000</v>
      </c>
      <c r="H6" t="s">
        <v>12</v>
      </c>
    </row>
    <row r="7" spans="1:8" x14ac:dyDescent="0.35">
      <c r="A7">
        <v>1006</v>
      </c>
      <c r="B7" t="s">
        <v>29</v>
      </c>
      <c r="C7" t="s">
        <v>30</v>
      </c>
      <c r="D7" t="s">
        <v>19</v>
      </c>
      <c r="E7" t="s">
        <v>31</v>
      </c>
      <c r="F7" s="3">
        <v>44872</v>
      </c>
      <c r="G7" s="2">
        <v>78000</v>
      </c>
      <c r="H7" t="s">
        <v>12</v>
      </c>
    </row>
    <row r="8" spans="1:8" x14ac:dyDescent="0.35">
      <c r="A8">
        <v>1007</v>
      </c>
      <c r="B8" t="s">
        <v>32</v>
      </c>
      <c r="C8" t="s">
        <v>33</v>
      </c>
      <c r="D8" t="s">
        <v>34</v>
      </c>
      <c r="E8" t="s">
        <v>35</v>
      </c>
      <c r="F8" s="3">
        <v>43689</v>
      </c>
      <c r="G8" s="2">
        <v>85000</v>
      </c>
      <c r="H8" t="s">
        <v>12</v>
      </c>
    </row>
    <row r="9" spans="1:8" x14ac:dyDescent="0.35">
      <c r="A9">
        <v>1008</v>
      </c>
      <c r="B9" t="s">
        <v>36</v>
      </c>
      <c r="C9" t="s">
        <v>37</v>
      </c>
      <c r="D9" t="s">
        <v>10</v>
      </c>
      <c r="E9" t="s">
        <v>38</v>
      </c>
      <c r="F9" s="3">
        <v>45194</v>
      </c>
      <c r="G9" s="2">
        <v>59000</v>
      </c>
      <c r="H9" t="s">
        <v>39</v>
      </c>
    </row>
    <row r="10" spans="1:8" x14ac:dyDescent="0.35">
      <c r="A10">
        <v>1009</v>
      </c>
      <c r="B10" t="s">
        <v>40</v>
      </c>
      <c r="C10" t="s">
        <v>41</v>
      </c>
      <c r="D10" t="s">
        <v>27</v>
      </c>
      <c r="E10" t="s">
        <v>42</v>
      </c>
      <c r="F10" s="3">
        <v>44361</v>
      </c>
      <c r="G10" s="2">
        <v>82000</v>
      </c>
      <c r="H10" t="s">
        <v>12</v>
      </c>
    </row>
    <row r="11" spans="1:8" x14ac:dyDescent="0.35">
      <c r="A11">
        <v>1010</v>
      </c>
      <c r="B11" t="s">
        <v>43</v>
      </c>
      <c r="C11" t="s">
        <v>44</v>
      </c>
      <c r="D11" t="s">
        <v>15</v>
      </c>
      <c r="E11" t="s">
        <v>45</v>
      </c>
      <c r="F11" s="3">
        <v>45523</v>
      </c>
      <c r="G11" s="2">
        <v>57000</v>
      </c>
      <c r="H11" t="s">
        <v>12</v>
      </c>
    </row>
    <row r="12" spans="1:8" x14ac:dyDescent="0.35">
      <c r="A12">
        <v>1011</v>
      </c>
      <c r="B12" t="s">
        <v>46</v>
      </c>
      <c r="C12" t="s">
        <v>47</v>
      </c>
      <c r="D12" t="s">
        <v>19</v>
      </c>
      <c r="E12" t="s">
        <v>48</v>
      </c>
      <c r="F12" s="3">
        <v>44105</v>
      </c>
      <c r="G12" s="2">
        <v>80000</v>
      </c>
      <c r="H12" t="s">
        <v>12</v>
      </c>
    </row>
    <row r="13" spans="1:8" x14ac:dyDescent="0.35">
      <c r="A13">
        <v>1012</v>
      </c>
      <c r="B13" t="s">
        <v>49</v>
      </c>
      <c r="C13" t="s">
        <v>50</v>
      </c>
      <c r="D13" t="s">
        <v>23</v>
      </c>
      <c r="E13" t="s">
        <v>51</v>
      </c>
      <c r="F13" s="3">
        <v>44942</v>
      </c>
      <c r="G13" s="2">
        <v>62000</v>
      </c>
      <c r="H13" t="s">
        <v>39</v>
      </c>
    </row>
    <row r="14" spans="1:8" x14ac:dyDescent="0.35">
      <c r="A14">
        <v>1013</v>
      </c>
      <c r="B14" t="s">
        <v>52</v>
      </c>
      <c r="C14" t="s">
        <v>53</v>
      </c>
      <c r="D14" t="s">
        <v>34</v>
      </c>
      <c r="E14" t="s">
        <v>54</v>
      </c>
      <c r="F14" s="3">
        <v>45390</v>
      </c>
      <c r="G14" s="2">
        <v>67000</v>
      </c>
      <c r="H14" t="s">
        <v>12</v>
      </c>
    </row>
    <row r="15" spans="1:8" x14ac:dyDescent="0.35">
      <c r="A15">
        <v>1014</v>
      </c>
      <c r="B15" t="s">
        <v>55</v>
      </c>
      <c r="C15" t="s">
        <v>56</v>
      </c>
      <c r="D15" t="s">
        <v>10</v>
      </c>
      <c r="E15" t="s">
        <v>57</v>
      </c>
      <c r="F15" s="3">
        <v>43437</v>
      </c>
      <c r="G15" s="2">
        <v>88000</v>
      </c>
      <c r="H15" t="s">
        <v>12</v>
      </c>
    </row>
    <row r="16" spans="1:8" x14ac:dyDescent="0.35">
      <c r="A16">
        <v>1015</v>
      </c>
      <c r="B16" t="s">
        <v>58</v>
      </c>
      <c r="C16" t="s">
        <v>59</v>
      </c>
      <c r="D16" t="s">
        <v>27</v>
      </c>
      <c r="E16" t="s">
        <v>60</v>
      </c>
      <c r="F16" s="3">
        <v>44641</v>
      </c>
      <c r="G16" s="2">
        <v>70000</v>
      </c>
      <c r="H16" t="s">
        <v>12</v>
      </c>
    </row>
    <row r="17" spans="1:8" x14ac:dyDescent="0.35">
      <c r="A17">
        <v>1016</v>
      </c>
      <c r="B17" t="s">
        <v>61</v>
      </c>
      <c r="C17" t="s">
        <v>62</v>
      </c>
      <c r="D17" t="s">
        <v>19</v>
      </c>
      <c r="E17" t="s">
        <v>20</v>
      </c>
      <c r="F17" s="3">
        <v>45453</v>
      </c>
      <c r="G17" s="2">
        <v>95000</v>
      </c>
      <c r="H17" t="s">
        <v>12</v>
      </c>
    </row>
    <row r="18" spans="1:8" x14ac:dyDescent="0.35">
      <c r="A18">
        <v>1017</v>
      </c>
      <c r="B18" t="s">
        <v>63</v>
      </c>
      <c r="C18" t="s">
        <v>64</v>
      </c>
      <c r="D18" t="s">
        <v>34</v>
      </c>
      <c r="E18" t="s">
        <v>65</v>
      </c>
      <c r="F18" s="3">
        <v>44452</v>
      </c>
      <c r="G18" s="2">
        <v>63000</v>
      </c>
      <c r="H18" t="s">
        <v>39</v>
      </c>
    </row>
    <row r="19" spans="1:8" x14ac:dyDescent="0.35">
      <c r="A19">
        <v>1018</v>
      </c>
      <c r="B19" t="s">
        <v>66</v>
      </c>
      <c r="C19" t="s">
        <v>67</v>
      </c>
      <c r="D19" t="s">
        <v>23</v>
      </c>
      <c r="E19" t="s">
        <v>68</v>
      </c>
      <c r="F19" s="3">
        <v>43577</v>
      </c>
      <c r="G19" s="2">
        <v>90000</v>
      </c>
      <c r="H19" t="s">
        <v>12</v>
      </c>
    </row>
    <row r="20" spans="1:8" x14ac:dyDescent="0.35">
      <c r="A20">
        <v>1019</v>
      </c>
      <c r="B20" t="s">
        <v>69</v>
      </c>
      <c r="C20" t="s">
        <v>70</v>
      </c>
      <c r="D20" t="s">
        <v>10</v>
      </c>
      <c r="E20" t="s">
        <v>11</v>
      </c>
      <c r="F20" s="3">
        <v>45572</v>
      </c>
      <c r="G20" s="2">
        <v>74000</v>
      </c>
      <c r="H20" t="s">
        <v>12</v>
      </c>
    </row>
    <row r="21" spans="1:8" x14ac:dyDescent="0.35">
      <c r="A21">
        <v>1020</v>
      </c>
      <c r="B21" t="s">
        <v>71</v>
      </c>
      <c r="C21" t="s">
        <v>72</v>
      </c>
      <c r="D21" t="s">
        <v>15</v>
      </c>
      <c r="E21" t="s">
        <v>73</v>
      </c>
      <c r="F21" s="3">
        <v>43955</v>
      </c>
      <c r="G21" s="2">
        <v>87000</v>
      </c>
      <c r="H21" t="s">
        <v>12</v>
      </c>
    </row>
    <row r="22" spans="1:8" x14ac:dyDescent="0.35">
      <c r="A22">
        <v>1021</v>
      </c>
      <c r="B22" t="s">
        <v>74</v>
      </c>
      <c r="C22" t="s">
        <v>75</v>
      </c>
      <c r="D22" t="s">
        <v>27</v>
      </c>
      <c r="E22" t="s">
        <v>28</v>
      </c>
      <c r="F22" s="3">
        <v>45670</v>
      </c>
      <c r="G22" s="2">
        <v>60000</v>
      </c>
      <c r="H22" t="s">
        <v>39</v>
      </c>
    </row>
    <row r="23" spans="1:8" x14ac:dyDescent="0.35">
      <c r="A23">
        <v>1022</v>
      </c>
      <c r="B23" t="s">
        <v>76</v>
      </c>
      <c r="C23" t="s">
        <v>77</v>
      </c>
      <c r="D23" t="s">
        <v>19</v>
      </c>
      <c r="E23" t="s">
        <v>78</v>
      </c>
      <c r="F23" s="3">
        <v>45110</v>
      </c>
      <c r="G23" s="2">
        <v>90000</v>
      </c>
      <c r="H23" t="s">
        <v>12</v>
      </c>
    </row>
    <row r="24" spans="1:8" x14ac:dyDescent="0.35">
      <c r="A24">
        <v>1023</v>
      </c>
      <c r="B24" t="s">
        <v>79</v>
      </c>
      <c r="C24" t="s">
        <v>37</v>
      </c>
      <c r="D24" t="s">
        <v>34</v>
      </c>
      <c r="E24" t="s">
        <v>80</v>
      </c>
      <c r="F24" s="3">
        <v>44907</v>
      </c>
      <c r="G24" s="2">
        <v>68000</v>
      </c>
      <c r="H24" t="s">
        <v>12</v>
      </c>
    </row>
    <row r="25" spans="1:8" x14ac:dyDescent="0.35">
      <c r="A25">
        <v>1024</v>
      </c>
      <c r="B25" t="s">
        <v>81</v>
      </c>
      <c r="C25" t="s">
        <v>14</v>
      </c>
      <c r="D25" t="s">
        <v>23</v>
      </c>
      <c r="E25" t="s">
        <v>82</v>
      </c>
      <c r="F25" s="3">
        <v>45705</v>
      </c>
      <c r="G25" s="2">
        <v>66000</v>
      </c>
      <c r="H25" t="s">
        <v>12</v>
      </c>
    </row>
    <row r="26" spans="1:8" x14ac:dyDescent="0.35">
      <c r="A26">
        <v>1025</v>
      </c>
      <c r="B26" t="s">
        <v>83</v>
      </c>
      <c r="C26" t="s">
        <v>84</v>
      </c>
      <c r="D26" t="s">
        <v>10</v>
      </c>
      <c r="E26" t="s">
        <v>85</v>
      </c>
      <c r="F26" s="3">
        <v>43045</v>
      </c>
      <c r="G26" s="2">
        <v>105000</v>
      </c>
      <c r="H26" t="s">
        <v>12</v>
      </c>
    </row>
    <row r="27" spans="1:8" x14ac:dyDescent="0.35">
      <c r="A27">
        <v>1026</v>
      </c>
      <c r="B27" t="s">
        <v>86</v>
      </c>
      <c r="C27" t="s">
        <v>87</v>
      </c>
      <c r="D27" t="s">
        <v>15</v>
      </c>
      <c r="E27" t="s">
        <v>16</v>
      </c>
      <c r="F27" s="3">
        <v>45222</v>
      </c>
      <c r="G27" s="2">
        <v>64000</v>
      </c>
      <c r="H27" t="s">
        <v>39</v>
      </c>
    </row>
    <row r="28" spans="1:8" x14ac:dyDescent="0.35">
      <c r="A28">
        <v>1027</v>
      </c>
      <c r="B28" t="s">
        <v>88</v>
      </c>
      <c r="C28" t="s">
        <v>89</v>
      </c>
      <c r="D28" t="s">
        <v>19</v>
      </c>
      <c r="E28" t="s">
        <v>90</v>
      </c>
      <c r="F28" s="3">
        <v>44235</v>
      </c>
      <c r="G28" s="2">
        <v>61000</v>
      </c>
      <c r="H28" t="s">
        <v>12</v>
      </c>
    </row>
    <row r="29" spans="1:8" x14ac:dyDescent="0.35">
      <c r="A29">
        <v>1028</v>
      </c>
      <c r="B29" t="s">
        <v>91</v>
      </c>
      <c r="C29" t="s">
        <v>26</v>
      </c>
      <c r="D29" t="s">
        <v>27</v>
      </c>
      <c r="E29" t="s">
        <v>42</v>
      </c>
      <c r="F29" s="3">
        <v>45628</v>
      </c>
      <c r="G29" s="2">
        <v>83000</v>
      </c>
      <c r="H29" t="s">
        <v>12</v>
      </c>
    </row>
    <row r="30" spans="1:8" x14ac:dyDescent="0.35">
      <c r="A30">
        <v>1029</v>
      </c>
      <c r="B30" t="s">
        <v>92</v>
      </c>
      <c r="C30" t="s">
        <v>93</v>
      </c>
      <c r="D30" t="s">
        <v>34</v>
      </c>
      <c r="E30" t="s">
        <v>35</v>
      </c>
      <c r="F30" s="3">
        <v>44088</v>
      </c>
      <c r="G30" s="2">
        <v>88000</v>
      </c>
      <c r="H30" t="s">
        <v>12</v>
      </c>
    </row>
    <row r="31" spans="1:8" x14ac:dyDescent="0.35">
      <c r="A31">
        <v>1030</v>
      </c>
      <c r="B31" t="s">
        <v>94</v>
      </c>
      <c r="C31" t="s">
        <v>95</v>
      </c>
      <c r="D31" t="s">
        <v>23</v>
      </c>
      <c r="E31" t="s">
        <v>96</v>
      </c>
      <c r="F31" s="3">
        <v>44739</v>
      </c>
      <c r="G31" s="2">
        <v>60000</v>
      </c>
      <c r="H31" t="s">
        <v>39</v>
      </c>
    </row>
    <row r="32" spans="1:8" x14ac:dyDescent="0.35">
      <c r="A32">
        <v>1031</v>
      </c>
      <c r="B32" t="s">
        <v>97</v>
      </c>
      <c r="C32" t="s">
        <v>98</v>
      </c>
      <c r="D32" t="s">
        <v>19</v>
      </c>
      <c r="E32" t="s">
        <v>20</v>
      </c>
      <c r="F32" s="3">
        <v>45726</v>
      </c>
      <c r="G32" s="2">
        <v>98000</v>
      </c>
      <c r="H32" t="s">
        <v>12</v>
      </c>
    </row>
    <row r="33" spans="1:8" x14ac:dyDescent="0.35">
      <c r="A33">
        <v>1032</v>
      </c>
      <c r="B33" t="s">
        <v>99</v>
      </c>
      <c r="C33" t="s">
        <v>100</v>
      </c>
      <c r="D33" t="s">
        <v>10</v>
      </c>
      <c r="E33" t="s">
        <v>101</v>
      </c>
      <c r="F33" s="3">
        <v>45299</v>
      </c>
      <c r="G33" s="2">
        <v>63000</v>
      </c>
      <c r="H33" t="s">
        <v>12</v>
      </c>
    </row>
    <row r="34" spans="1:8" x14ac:dyDescent="0.35">
      <c r="A34">
        <v>1033</v>
      </c>
      <c r="B34" t="s">
        <v>102</v>
      </c>
      <c r="C34" t="s">
        <v>103</v>
      </c>
      <c r="D34" t="s">
        <v>27</v>
      </c>
      <c r="E34" t="s">
        <v>104</v>
      </c>
      <c r="F34" s="3">
        <v>45250</v>
      </c>
      <c r="G34" s="2">
        <v>69000</v>
      </c>
      <c r="H34" t="s">
        <v>12</v>
      </c>
    </row>
    <row r="35" spans="1:8" x14ac:dyDescent="0.35">
      <c r="A35">
        <v>1034</v>
      </c>
      <c r="B35" t="s">
        <v>105</v>
      </c>
      <c r="C35" t="s">
        <v>106</v>
      </c>
      <c r="D35" t="s">
        <v>15</v>
      </c>
      <c r="E35" t="s">
        <v>45</v>
      </c>
      <c r="F35" s="3">
        <v>45782</v>
      </c>
      <c r="G35" s="2">
        <v>59000</v>
      </c>
      <c r="H35" t="s">
        <v>12</v>
      </c>
    </row>
    <row r="36" spans="1:8" x14ac:dyDescent="0.35">
      <c r="A36">
        <v>1035</v>
      </c>
      <c r="B36" t="s">
        <v>107</v>
      </c>
      <c r="C36" t="s">
        <v>108</v>
      </c>
      <c r="D36" t="s">
        <v>34</v>
      </c>
      <c r="E36" t="s">
        <v>54</v>
      </c>
      <c r="F36" s="3">
        <v>45488</v>
      </c>
      <c r="G36" s="2">
        <v>70000</v>
      </c>
      <c r="H36" t="s">
        <v>39</v>
      </c>
    </row>
  </sheetData>
  <conditionalFormatting sqref="G1:G1048576">
    <cfRule type="aboveAverage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4E85-40DC-4881-A571-E70C56C74FD1}">
  <dimension ref="A1:C43"/>
  <sheetViews>
    <sheetView workbookViewId="0">
      <selection activeCell="A3" sqref="A3"/>
    </sheetView>
  </sheetViews>
  <sheetFormatPr defaultRowHeight="14.5" x14ac:dyDescent="0.35"/>
  <cols>
    <col min="1" max="1" width="46.90625" customWidth="1"/>
    <col min="2" max="2" width="24.453125" customWidth="1"/>
    <col min="3" max="3" width="13.81640625" customWidth="1"/>
  </cols>
  <sheetData>
    <row r="1" spans="1:3" x14ac:dyDescent="0.35">
      <c r="A1" s="6" t="s">
        <v>109</v>
      </c>
      <c r="B1" s="6" t="s">
        <v>110</v>
      </c>
      <c r="C1" s="6" t="s">
        <v>111</v>
      </c>
    </row>
    <row r="2" spans="1:3" x14ac:dyDescent="0.35">
      <c r="A2" s="5" t="s">
        <v>113</v>
      </c>
      <c r="B2" t="str">
        <f>INDEX(A5:A10,MATCH(MAX(B5:B10),B5:B10,0))</f>
        <v>IT</v>
      </c>
      <c r="C2" t="s">
        <v>114</v>
      </c>
    </row>
    <row r="3" spans="1:3" x14ac:dyDescent="0.35">
      <c r="A3" s="5" t="s">
        <v>124</v>
      </c>
    </row>
    <row r="4" spans="1:3" x14ac:dyDescent="0.35">
      <c r="A4" s="9" t="s">
        <v>3</v>
      </c>
      <c r="B4" s="9" t="s">
        <v>112</v>
      </c>
    </row>
    <row r="5" spans="1:3" x14ac:dyDescent="0.35">
      <c r="A5" s="1" t="s">
        <v>10</v>
      </c>
      <c r="B5" s="7">
        <f>AVERAGEIFS(Employees!G:G,Employees!D:D,A5)</f>
        <v>76833.333333333328</v>
      </c>
    </row>
    <row r="6" spans="1:3" x14ac:dyDescent="0.35">
      <c r="A6" s="1" t="s">
        <v>15</v>
      </c>
      <c r="B6">
        <f>AVERAGEIFS(Employees!G:G,Employees!D:D,A6)</f>
        <v>66400</v>
      </c>
    </row>
    <row r="7" spans="1:3" x14ac:dyDescent="0.35">
      <c r="A7" s="4" t="s">
        <v>19</v>
      </c>
      <c r="B7" s="8">
        <f>AVERAGEIFS(Employees!G:G,Employees!D:D,A7)</f>
        <v>84857.142857142855</v>
      </c>
    </row>
    <row r="8" spans="1:3" x14ac:dyDescent="0.35">
      <c r="A8" s="1" t="s">
        <v>23</v>
      </c>
      <c r="B8">
        <f>AVERAGEIFS(Employees!G:G,Employees!D:D,A8)</f>
        <v>67200</v>
      </c>
    </row>
    <row r="9" spans="1:3" x14ac:dyDescent="0.35">
      <c r="A9" s="1" t="s">
        <v>34</v>
      </c>
      <c r="B9">
        <f>AVERAGEIFS(Employees!G:G,Employees!D:D,A9)</f>
        <v>73500</v>
      </c>
    </row>
    <row r="10" spans="1:3" x14ac:dyDescent="0.35">
      <c r="A10" s="1" t="s">
        <v>27</v>
      </c>
      <c r="B10" s="7">
        <f>AVERAGEIFS(Employees!G:G,Employees!D:D,A10)</f>
        <v>70833.333333333328</v>
      </c>
    </row>
    <row r="11" spans="1:3" ht="26" x14ac:dyDescent="0.35">
      <c r="A11" s="11" t="s">
        <v>116</v>
      </c>
      <c r="B11">
        <f ca="1">COUNTIFS(Employees!F:F,"&gt;="&amp;EDATE(TODAY(),-12),Employees!F:F,"&lt;="&amp;TODAY())</f>
        <v>0</v>
      </c>
      <c r="C11" t="s">
        <v>115</v>
      </c>
    </row>
    <row r="13" spans="1:3" x14ac:dyDescent="0.35">
      <c r="A13" s="5" t="s">
        <v>117</v>
      </c>
      <c r="B13">
        <f>SUMIFS(Employees!G:G,Employees!H:H,"Yes")</f>
        <v>2151000</v>
      </c>
      <c r="C13" t="s">
        <v>118</v>
      </c>
    </row>
    <row r="15" spans="1:3" x14ac:dyDescent="0.35">
      <c r="A15" s="5" t="s">
        <v>119</v>
      </c>
      <c r="B15" t="str">
        <f>INDEX(A17:A41,MATCH(MAX(B17:B41),B17:B41,0))&amp;" = "&amp;MAX(B17:B41)</f>
        <v>Software Engineer = 3</v>
      </c>
      <c r="C15" t="s">
        <v>115</v>
      </c>
    </row>
    <row r="16" spans="1:3" x14ac:dyDescent="0.35">
      <c r="A16" s="10" t="s">
        <v>120</v>
      </c>
      <c r="B16" s="10" t="s">
        <v>121</v>
      </c>
    </row>
    <row r="17" spans="1:2" x14ac:dyDescent="0.35">
      <c r="A17" t="s">
        <v>11</v>
      </c>
      <c r="B17">
        <f>COUNTIFS(Employees!E:E,A17)</f>
        <v>2</v>
      </c>
    </row>
    <row r="18" spans="1:2" x14ac:dyDescent="0.35">
      <c r="A18" t="s">
        <v>16</v>
      </c>
      <c r="B18">
        <f>COUNTIFS(Employees!E:E,A18)</f>
        <v>2</v>
      </c>
    </row>
    <row r="19" spans="1:2" x14ac:dyDescent="0.35">
      <c r="A19" t="s">
        <v>20</v>
      </c>
      <c r="B19">
        <f>COUNTIFS(Employees!E:E,A19)</f>
        <v>3</v>
      </c>
    </row>
    <row r="20" spans="1:2" x14ac:dyDescent="0.35">
      <c r="A20" t="s">
        <v>24</v>
      </c>
      <c r="B20">
        <f>COUNTIFS(Employees!E:E,A20)</f>
        <v>1</v>
      </c>
    </row>
    <row r="21" spans="1:2" x14ac:dyDescent="0.35">
      <c r="A21" t="s">
        <v>28</v>
      </c>
      <c r="B21">
        <f>COUNTIFS(Employees!E:E,A21)</f>
        <v>2</v>
      </c>
    </row>
    <row r="22" spans="1:2" x14ac:dyDescent="0.35">
      <c r="A22" t="s">
        <v>31</v>
      </c>
      <c r="B22">
        <f>COUNTIFS(Employees!E:E,A22)</f>
        <v>1</v>
      </c>
    </row>
    <row r="23" spans="1:2" x14ac:dyDescent="0.35">
      <c r="A23" t="s">
        <v>35</v>
      </c>
      <c r="B23">
        <f>COUNTIFS(Employees!E:E,A23)</f>
        <v>2</v>
      </c>
    </row>
    <row r="24" spans="1:2" x14ac:dyDescent="0.35">
      <c r="A24" t="s">
        <v>38</v>
      </c>
      <c r="B24">
        <f>COUNTIFS(Employees!E:E,A24)</f>
        <v>1</v>
      </c>
    </row>
    <row r="25" spans="1:2" x14ac:dyDescent="0.35">
      <c r="A25" t="s">
        <v>42</v>
      </c>
      <c r="B25">
        <f>COUNTIFS(Employees!E:E,A25)</f>
        <v>2</v>
      </c>
    </row>
    <row r="26" spans="1:2" x14ac:dyDescent="0.35">
      <c r="A26" t="s">
        <v>45</v>
      </c>
      <c r="B26">
        <f>COUNTIFS(Employees!E:E,A26)</f>
        <v>2</v>
      </c>
    </row>
    <row r="27" spans="1:2" x14ac:dyDescent="0.35">
      <c r="A27" t="s">
        <v>48</v>
      </c>
      <c r="B27">
        <f>COUNTIFS(Employees!E:E,A27)</f>
        <v>1</v>
      </c>
    </row>
    <row r="28" spans="1:2" x14ac:dyDescent="0.35">
      <c r="A28" t="s">
        <v>51</v>
      </c>
      <c r="B28">
        <f>COUNTIFS(Employees!E:E,A28)</f>
        <v>1</v>
      </c>
    </row>
    <row r="29" spans="1:2" x14ac:dyDescent="0.35">
      <c r="A29" t="s">
        <v>54</v>
      </c>
      <c r="B29">
        <f>COUNTIFS(Employees!E:E,A29)</f>
        <v>2</v>
      </c>
    </row>
    <row r="30" spans="1:2" x14ac:dyDescent="0.35">
      <c r="A30" t="s">
        <v>57</v>
      </c>
      <c r="B30">
        <f>COUNTIFS(Employees!E:E,A30)</f>
        <v>1</v>
      </c>
    </row>
    <row r="31" spans="1:2" x14ac:dyDescent="0.35">
      <c r="A31" t="s">
        <v>60</v>
      </c>
      <c r="B31">
        <f>COUNTIFS(Employees!E:E,A31)</f>
        <v>1</v>
      </c>
    </row>
    <row r="32" spans="1:2" x14ac:dyDescent="0.35">
      <c r="A32" t="s">
        <v>65</v>
      </c>
      <c r="B32">
        <f>COUNTIFS(Employees!E:E,A32)</f>
        <v>1</v>
      </c>
    </row>
    <row r="33" spans="1:3" x14ac:dyDescent="0.35">
      <c r="A33" t="s">
        <v>68</v>
      </c>
      <c r="B33">
        <f>COUNTIFS(Employees!E:E,A33)</f>
        <v>1</v>
      </c>
    </row>
    <row r="34" spans="1:3" x14ac:dyDescent="0.35">
      <c r="A34" t="s">
        <v>78</v>
      </c>
      <c r="B34">
        <f>COUNTIFS(Employees!E:E,A34)</f>
        <v>1</v>
      </c>
    </row>
    <row r="35" spans="1:3" x14ac:dyDescent="0.35">
      <c r="A35" t="s">
        <v>80</v>
      </c>
      <c r="B35">
        <f>COUNTIFS(Employees!E:E,A35)</f>
        <v>1</v>
      </c>
    </row>
    <row r="36" spans="1:3" x14ac:dyDescent="0.35">
      <c r="A36" t="s">
        <v>82</v>
      </c>
      <c r="B36">
        <f>COUNTIFS(Employees!E:E,A36)</f>
        <v>1</v>
      </c>
    </row>
    <row r="37" spans="1:3" x14ac:dyDescent="0.35">
      <c r="A37" t="s">
        <v>85</v>
      </c>
      <c r="B37">
        <f>COUNTIFS(Employees!E:E,A37)</f>
        <v>1</v>
      </c>
    </row>
    <row r="38" spans="1:3" x14ac:dyDescent="0.35">
      <c r="A38" t="s">
        <v>90</v>
      </c>
      <c r="B38">
        <f>COUNTIFS(Employees!E:E,A38)</f>
        <v>1</v>
      </c>
    </row>
    <row r="39" spans="1:3" x14ac:dyDescent="0.35">
      <c r="A39" t="s">
        <v>96</v>
      </c>
      <c r="B39">
        <f>COUNTIFS(Employees!E:E,A39)</f>
        <v>1</v>
      </c>
    </row>
    <row r="40" spans="1:3" x14ac:dyDescent="0.35">
      <c r="A40" t="s">
        <v>101</v>
      </c>
      <c r="B40">
        <f>COUNTIFS(Employees!E:E,A40)</f>
        <v>1</v>
      </c>
    </row>
    <row r="41" spans="1:3" x14ac:dyDescent="0.35">
      <c r="A41" t="s">
        <v>104</v>
      </c>
      <c r="B41">
        <f>COUNTIFS(Employees!E:E,A41)</f>
        <v>1</v>
      </c>
    </row>
    <row r="43" spans="1:3" x14ac:dyDescent="0.35">
      <c r="A43" s="5" t="s">
        <v>123</v>
      </c>
      <c r="B43">
        <f>MEDIAN(Employees!G:G)</f>
        <v>70000</v>
      </c>
      <c r="C4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trisha</dc:creator>
  <cp:lastModifiedBy>sama trisha</cp:lastModifiedBy>
  <dcterms:created xsi:type="dcterms:W3CDTF">2026-09-19T08:48:05Z</dcterms:created>
  <dcterms:modified xsi:type="dcterms:W3CDTF">2026-09-19T10:28:01Z</dcterms:modified>
</cp:coreProperties>
</file>